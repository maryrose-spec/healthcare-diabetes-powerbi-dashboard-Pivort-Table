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B3EDD16C-1017-4F8D-A044-1887F7359FFB}" xr6:coauthVersionLast="47" xr6:coauthVersionMax="47" xr10:uidLastSave="{00000000-0000-0000-0000-000000000000}"/>
  <bookViews>
    <workbookView xWindow="-108" yWindow="-108" windowWidth="23256" windowHeight="12576" activeTab="1" xr2:uid="{00000000-000D-0000-FFFF-FFFF00000000}"/>
  </bookViews>
  <sheets>
    <sheet name="Sheet2" sheetId="3" r:id="rId1"/>
    <sheet name="Sales Data" sheetId="1" r:id="rId2"/>
    <sheet name="Dashboard" sheetId="2" r:id="rId3"/>
  </sheets>
  <definedNames>
    <definedName name="Slicer_Months__Date">#N/A</definedName>
  </definedNames>
  <calcPr calcId="18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<sst xmlns="http://schemas.openxmlformats.org/spreadsheetml/2006/main" count="184" uniqueCount="53">
  <si>
    <t>Date</t>
  </si>
  <si>
    <t>Product</t>
  </si>
  <si>
    <t>Category</t>
  </si>
  <si>
    <t>Sales Rep</t>
  </si>
  <si>
    <t>City</t>
  </si>
  <si>
    <t>Units</t>
  </si>
  <si>
    <t>Price (₦)</t>
  </si>
  <si>
    <t>Total Sales (₦)</t>
  </si>
  <si>
    <t>Projector</t>
  </si>
  <si>
    <t>Office Equipment</t>
  </si>
  <si>
    <t>Mary Johnson</t>
  </si>
  <si>
    <t>Enugu</t>
  </si>
  <si>
    <t>Smartwatch</t>
  </si>
  <si>
    <t>Electronics</t>
  </si>
  <si>
    <t>Samuel Ade</t>
  </si>
  <si>
    <t>Abuja</t>
  </si>
  <si>
    <t>Office Chair</t>
  </si>
  <si>
    <t>Furniture</t>
  </si>
  <si>
    <t>Grace Eze</t>
  </si>
  <si>
    <t>Ibadan</t>
  </si>
  <si>
    <t>Bluetooth Speaker</t>
  </si>
  <si>
    <t>Port Harcourt</t>
  </si>
  <si>
    <t>Aisha Bello</t>
  </si>
  <si>
    <t>Kano</t>
  </si>
  <si>
    <t>Desk Organizer</t>
  </si>
  <si>
    <t>David Mensah</t>
  </si>
  <si>
    <t>Kelvin Obi</t>
  </si>
  <si>
    <t>Printer</t>
  </si>
  <si>
    <t>Lagos</t>
  </si>
  <si>
    <t>Fatima Musa</t>
  </si>
  <si>
    <t>Wireless Mouse</t>
  </si>
  <si>
    <t>Accessories</t>
  </si>
  <si>
    <t>Notebook</t>
  </si>
  <si>
    <t>Stationery</t>
  </si>
  <si>
    <t>USB Drive</t>
  </si>
  <si>
    <t>Chinedu Okafor</t>
  </si>
  <si>
    <t>Row Labels</t>
  </si>
  <si>
    <t>Grand Total</t>
  </si>
  <si>
    <t>Sum of Total Sales (₦)</t>
  </si>
  <si>
    <t>Jan</t>
  </si>
  <si>
    <t>Feb</t>
  </si>
  <si>
    <t>Mar</t>
  </si>
  <si>
    <t>Apr</t>
  </si>
  <si>
    <t>May</t>
  </si>
  <si>
    <t>Jun</t>
  </si>
  <si>
    <t>Jul</t>
  </si>
  <si>
    <t>Aug</t>
  </si>
  <si>
    <t>Sep</t>
  </si>
  <si>
    <t>Oct</t>
  </si>
  <si>
    <t>Nov</t>
  </si>
  <si>
    <t>Dec</t>
  </si>
  <si>
    <t>Sales Dashboard</t>
  </si>
  <si>
    <t>Sales Reps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</si>
</sst>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8"/>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pivotButton="1"/>
    <xf numFmtId="0" fontId="0" fillId="0" borderId="0" xfId="0" applyAlignment="1">
      <alignment horizontal="left"/>
    </xf>
    <xf numFmtId="3" fontId="0" fillId="0" borderId="0" xfId="0" applyNumberFormat="1"/>
    <xf numFmtId="14" fontId="0" fillId="0" borderId="0" xfId="0" applyNumberFormat="1"/>
    <xf numFmtId="14" fontId="0" fillId="0" borderId="0" xfId="0" applyNumberFormat="1" applyAlignment="1">
      <alignment horizontal="left" vertical="top"/>
    </xf>
    <xf numFmtId="14" fontId="1" fillId="0" borderId="0" xfId="0" applyNumberFormat="1" applyFont="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96">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3" formatCode="#,##0"/>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Dataset.xlsx]Sheet2!PivotTable1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City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2.5000000000000001E-2"/>
          <c:y val="0.26833114610673664"/>
          <c:w val="0.93888888888888888"/>
          <c:h val="0.45862350539515895"/>
        </c:manualLayout>
      </c:layout>
      <c:lineChart>
        <c:grouping val="standard"/>
        <c:varyColors val="0"/>
        <c:ser>
          <c:idx val="0"/>
          <c:order val="0"/>
          <c:tx>
            <c:strRef>
              <c:f>Sheet2!$B$3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Sheet2!$A$4:$A$10</c:f>
              <c:strCache>
                <c:ptCount val="6"/>
                <c:pt idx="0">
                  <c:v>Abuja</c:v>
                </c:pt>
                <c:pt idx="1">
                  <c:v>Enugu</c:v>
                </c:pt>
                <c:pt idx="2">
                  <c:v>Ibadan</c:v>
                </c:pt>
                <c:pt idx="3">
                  <c:v>Kano</c:v>
                </c:pt>
                <c:pt idx="4">
                  <c:v>Lagos</c:v>
                </c:pt>
                <c:pt idx="5">
                  <c:v>Port Harcourt</c:v>
                </c:pt>
              </c:strCache>
            </c:strRef>
          </c:cat>
          <c:val>
            <c:numRef>
              <c:f>Sheet2!$B$4:$B$10</c:f>
              <c:numCache>
                <c:formatCode>#,##0</c:formatCode>
                <c:ptCount val="6"/>
                <c:pt idx="0">
                  <c:v>520074.98999999987</c:v>
                </c:pt>
                <c:pt idx="1">
                  <c:v>41953.61</c:v>
                </c:pt>
                <c:pt idx="2">
                  <c:v>208818.68000000002</c:v>
                </c:pt>
                <c:pt idx="3">
                  <c:v>121205.24</c:v>
                </c:pt>
                <c:pt idx="4">
                  <c:v>86620.4</c:v>
                </c:pt>
                <c:pt idx="5">
                  <c:v>131265.33000000002</c:v>
                </c:pt>
              </c:numCache>
            </c:numRef>
          </c:val>
          <c:smooth val="0"/>
          <c:extLst>
            <c:ext xmlns:c16="http://schemas.microsoft.com/office/drawing/2014/chart" uri="{C3380CC4-5D6E-409C-BE32-E72D297353CC}">
              <c16:uniqueId val="{00000000-C907-46F1-B730-7F7122A6B4DD}"/>
            </c:ext>
          </c:extLst>
        </c:ser>
        <c:dLbls>
          <c:dLblPos val="ctr"/>
          <c:showLegendKey val="0"/>
          <c:showVal val="0"/>
          <c:showCatName val="0"/>
          <c:showSerName val="0"/>
          <c:showPercent val="0"/>
          <c:showBubbleSize val="0"/>
        </c:dLbls>
        <c:marker val="1"/>
        <c:smooth val="0"/>
        <c:axId val="1480359983"/>
        <c:axId val="1480347983"/>
      </c:lineChart>
      <c:catAx>
        <c:axId val="14803599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347983"/>
        <c:crosses val="autoZero"/>
        <c:auto val="1"/>
        <c:lblAlgn val="ctr"/>
        <c:lblOffset val="100"/>
        <c:noMultiLvlLbl val="0"/>
      </c:catAx>
      <c:valAx>
        <c:axId val="1480347983"/>
        <c:scaling>
          <c:orientation val="minMax"/>
        </c:scaling>
        <c:delete val="1"/>
        <c:axPos val="l"/>
        <c:numFmt formatCode="#,##0" sourceLinked="1"/>
        <c:majorTickMark val="none"/>
        <c:minorTickMark val="none"/>
        <c:tickLblPos val="nextTo"/>
        <c:crossAx val="148035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Dataset.xlsx]Sheet2!PivotTable4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layout>
        <c:manualLayout>
          <c:xMode val="edge"/>
          <c:yMode val="edge"/>
          <c:x val="0.30072900262467189"/>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Sheet2!$K$3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FF5-4238-86EE-4D12372BAAC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FF5-4238-86EE-4D12372BAAC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FF5-4238-86EE-4D12372BAAC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FF5-4238-86EE-4D12372BAAC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FF5-4238-86EE-4D12372BAAC6}"/>
              </c:ext>
            </c:extLst>
          </c:dPt>
          <c:cat>
            <c:strRef>
              <c:f>Sheet2!$J$4:$J$9</c:f>
              <c:strCache>
                <c:ptCount val="5"/>
                <c:pt idx="0">
                  <c:v>Accessories</c:v>
                </c:pt>
                <c:pt idx="1">
                  <c:v>Electronics</c:v>
                </c:pt>
                <c:pt idx="2">
                  <c:v>Furniture</c:v>
                </c:pt>
                <c:pt idx="3">
                  <c:v>Office Equipment</c:v>
                </c:pt>
                <c:pt idx="4">
                  <c:v>Stationery</c:v>
                </c:pt>
              </c:strCache>
            </c:strRef>
          </c:cat>
          <c:val>
            <c:numRef>
              <c:f>Sheet2!$K$4:$K$9</c:f>
              <c:numCache>
                <c:formatCode>#,##0</c:formatCode>
                <c:ptCount val="5"/>
                <c:pt idx="0">
                  <c:v>158560.52999999997</c:v>
                </c:pt>
                <c:pt idx="1">
                  <c:v>306111.14999999997</c:v>
                </c:pt>
                <c:pt idx="2">
                  <c:v>355818.33000000007</c:v>
                </c:pt>
                <c:pt idx="3">
                  <c:v>119568.92</c:v>
                </c:pt>
                <c:pt idx="4">
                  <c:v>169879.32</c:v>
                </c:pt>
              </c:numCache>
            </c:numRef>
          </c:val>
          <c:extLst>
            <c:ext xmlns:c16="http://schemas.microsoft.com/office/drawing/2014/chart" uri="{C3380CC4-5D6E-409C-BE32-E72D297353CC}">
              <c16:uniqueId val="{0000000A-FFF5-4238-86EE-4D12372BAAC6}"/>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Dataset.xlsx]Sheet2!PivotTable2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layout>
        <c:manualLayout>
          <c:xMode val="edge"/>
          <c:yMode val="edge"/>
          <c:x val="0.28462015952109659"/>
          <c:y val="3.076923076923077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28273612126777892"/>
          <c:y val="0.21244224101616926"/>
          <c:w val="0.64599603620975954"/>
          <c:h val="0.70854545454545459"/>
        </c:manualLayout>
      </c:layout>
      <c:barChart>
        <c:barDir val="bar"/>
        <c:grouping val="clustered"/>
        <c:varyColors val="0"/>
        <c:ser>
          <c:idx val="0"/>
          <c:order val="0"/>
          <c:tx>
            <c:strRef>
              <c:f>Sheet2!$E$3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Sheet2!$D$4:$D$13</c:f>
              <c:strCache>
                <c:ptCount val="9"/>
                <c:pt idx="0">
                  <c:v>Smartwatch</c:v>
                </c:pt>
                <c:pt idx="1">
                  <c:v>Office Chair</c:v>
                </c:pt>
                <c:pt idx="2">
                  <c:v>Notebook</c:v>
                </c:pt>
                <c:pt idx="3">
                  <c:v>Desk Organizer</c:v>
                </c:pt>
                <c:pt idx="4">
                  <c:v>USB Drive</c:v>
                </c:pt>
                <c:pt idx="5">
                  <c:v>Bluetooth Speaker</c:v>
                </c:pt>
                <c:pt idx="6">
                  <c:v>Printer</c:v>
                </c:pt>
                <c:pt idx="7">
                  <c:v>Projector</c:v>
                </c:pt>
                <c:pt idx="8">
                  <c:v>Wireless Mouse</c:v>
                </c:pt>
              </c:strCache>
            </c:strRef>
          </c:cat>
          <c:val>
            <c:numRef>
              <c:f>Sheet2!$E$4:$E$13</c:f>
              <c:numCache>
                <c:formatCode>#,##0</c:formatCode>
                <c:ptCount val="9"/>
                <c:pt idx="0">
                  <c:v>201833.18</c:v>
                </c:pt>
                <c:pt idx="1">
                  <c:v>197899.69</c:v>
                </c:pt>
                <c:pt idx="2">
                  <c:v>169879.32</c:v>
                </c:pt>
                <c:pt idx="3">
                  <c:v>157918.64000000001</c:v>
                </c:pt>
                <c:pt idx="4">
                  <c:v>119443.43</c:v>
                </c:pt>
                <c:pt idx="5">
                  <c:v>104277.97</c:v>
                </c:pt>
                <c:pt idx="6">
                  <c:v>74034.080000000002</c:v>
                </c:pt>
                <c:pt idx="7">
                  <c:v>45534.84</c:v>
                </c:pt>
                <c:pt idx="8">
                  <c:v>39117.1</c:v>
                </c:pt>
              </c:numCache>
            </c:numRef>
          </c:val>
          <c:extLst>
            <c:ext xmlns:c16="http://schemas.microsoft.com/office/drawing/2014/chart" uri="{C3380CC4-5D6E-409C-BE32-E72D297353CC}">
              <c16:uniqueId val="{00000000-253E-48CE-8BF0-2D313922AFC1}"/>
            </c:ext>
          </c:extLst>
        </c:ser>
        <c:dLbls>
          <c:dLblPos val="outEnd"/>
          <c:showLegendKey val="0"/>
          <c:showVal val="0"/>
          <c:showCatName val="0"/>
          <c:showSerName val="0"/>
          <c:showPercent val="0"/>
          <c:showBubbleSize val="0"/>
        </c:dLbls>
        <c:gapWidth val="115"/>
        <c:overlap val="-20"/>
        <c:axId val="1657032064"/>
        <c:axId val="1657033504"/>
      </c:barChart>
      <c:catAx>
        <c:axId val="16570320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033504"/>
        <c:crosses val="autoZero"/>
        <c:auto val="1"/>
        <c:lblAlgn val="ctr"/>
        <c:lblOffset val="100"/>
        <c:noMultiLvlLbl val="0"/>
      </c:catAx>
      <c:valAx>
        <c:axId val="1657033504"/>
        <c:scaling>
          <c:orientation val="minMax"/>
        </c:scaling>
        <c:delete val="1"/>
        <c:axPos val="b"/>
        <c:numFmt formatCode="#,##0" sourceLinked="1"/>
        <c:majorTickMark val="none"/>
        <c:minorTickMark val="none"/>
        <c:tickLblPos val="nextTo"/>
        <c:crossAx val="165703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Dataset.xlsx]Sheet2!PivotTable3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Reps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26523297491037E-2"/>
          <c:y val="0.19668737060041408"/>
          <c:w val="0.92114695340501795"/>
          <c:h val="0.62638039810241108"/>
        </c:manualLayout>
      </c:layout>
      <c:barChart>
        <c:barDir val="col"/>
        <c:grouping val="clustered"/>
        <c:varyColors val="0"/>
        <c:ser>
          <c:idx val="0"/>
          <c:order val="0"/>
          <c:tx>
            <c:strRef>
              <c:f>Sheet2!$H$3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Sheet2!$G$4:$G$12</c:f>
              <c:strCache>
                <c:ptCount val="8"/>
                <c:pt idx="0">
                  <c:v>Kelvin Obi</c:v>
                </c:pt>
                <c:pt idx="1">
                  <c:v>Chinedu Okafor</c:v>
                </c:pt>
                <c:pt idx="2">
                  <c:v>Mary Johnson</c:v>
                </c:pt>
                <c:pt idx="3">
                  <c:v>David Mensah</c:v>
                </c:pt>
                <c:pt idx="4">
                  <c:v>Grace Eze</c:v>
                </c:pt>
                <c:pt idx="5">
                  <c:v>Samuel Ade</c:v>
                </c:pt>
                <c:pt idx="6">
                  <c:v>Fatima Musa</c:v>
                </c:pt>
                <c:pt idx="7">
                  <c:v>Aisha Bello</c:v>
                </c:pt>
              </c:strCache>
            </c:strRef>
          </c:cat>
          <c:val>
            <c:numRef>
              <c:f>Sheet2!$H$4:$H$12</c:f>
              <c:numCache>
                <c:formatCode>#,##0</c:formatCode>
                <c:ptCount val="8"/>
                <c:pt idx="0">
                  <c:v>361268.66000000003</c:v>
                </c:pt>
                <c:pt idx="1">
                  <c:v>195552.68</c:v>
                </c:pt>
                <c:pt idx="2">
                  <c:v>165215.16999999998</c:v>
                </c:pt>
                <c:pt idx="3">
                  <c:v>148050.26</c:v>
                </c:pt>
                <c:pt idx="4">
                  <c:v>132865.87</c:v>
                </c:pt>
                <c:pt idx="5">
                  <c:v>50347.05</c:v>
                </c:pt>
                <c:pt idx="6">
                  <c:v>37370.879999999997</c:v>
                </c:pt>
                <c:pt idx="7">
                  <c:v>19267.68</c:v>
                </c:pt>
              </c:numCache>
            </c:numRef>
          </c:val>
          <c:extLst>
            <c:ext xmlns:c16="http://schemas.microsoft.com/office/drawing/2014/chart" uri="{C3380CC4-5D6E-409C-BE32-E72D297353CC}">
              <c16:uniqueId val="{00000000-F22A-4002-B658-765237E0ACB3}"/>
            </c:ext>
          </c:extLst>
        </c:ser>
        <c:dLbls>
          <c:showLegendKey val="0"/>
          <c:showVal val="0"/>
          <c:showCatName val="0"/>
          <c:showSerName val="0"/>
          <c:showPercent val="0"/>
          <c:showBubbleSize val="0"/>
        </c:dLbls>
        <c:gapWidth val="100"/>
        <c:overlap val="-24"/>
        <c:axId val="1657026784"/>
        <c:axId val="1657028704"/>
      </c:barChart>
      <c:catAx>
        <c:axId val="165702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028704"/>
        <c:crosses val="autoZero"/>
        <c:auto val="1"/>
        <c:lblAlgn val="ctr"/>
        <c:lblOffset val="100"/>
        <c:noMultiLvlLbl val="0"/>
      </c:catAx>
      <c:valAx>
        <c:axId val="1657028704"/>
        <c:scaling>
          <c:orientation val="minMax"/>
        </c:scaling>
        <c:delete val="1"/>
        <c:axPos val="l"/>
        <c:numFmt formatCode="#,##0" sourceLinked="1"/>
        <c:majorTickMark val="none"/>
        <c:minorTickMark val="none"/>
        <c:tickLblPos val="nextTo"/>
        <c:crossAx val="165702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Dataset.xlsx]Sheet2!PivotTable5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1102251849200668"/>
          <c:y val="0.14992331036745407"/>
          <c:w val="0.8340094513126477"/>
          <c:h val="0.7439297124600639"/>
        </c:manualLayout>
      </c:layout>
      <c:barChart>
        <c:barDir val="bar"/>
        <c:grouping val="clustered"/>
        <c:varyColors val="0"/>
        <c:ser>
          <c:idx val="0"/>
          <c:order val="0"/>
          <c:tx>
            <c:strRef>
              <c:f>Sheet2!$B$15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Sheet2!$A$16:$A$28</c:f>
              <c:strCache>
                <c:ptCount val="12"/>
                <c:pt idx="0">
                  <c:v>Oct</c:v>
                </c:pt>
                <c:pt idx="1">
                  <c:v>Sep</c:v>
                </c:pt>
                <c:pt idx="2">
                  <c:v>May</c:v>
                </c:pt>
                <c:pt idx="3">
                  <c:v>Apr</c:v>
                </c:pt>
                <c:pt idx="4">
                  <c:v>Dec</c:v>
                </c:pt>
                <c:pt idx="5">
                  <c:v>Jul</c:v>
                </c:pt>
                <c:pt idx="6">
                  <c:v>Jan</c:v>
                </c:pt>
                <c:pt idx="7">
                  <c:v>Mar</c:v>
                </c:pt>
                <c:pt idx="8">
                  <c:v>Feb</c:v>
                </c:pt>
                <c:pt idx="9">
                  <c:v>Jun</c:v>
                </c:pt>
                <c:pt idx="10">
                  <c:v>Aug</c:v>
                </c:pt>
                <c:pt idx="11">
                  <c:v>Nov</c:v>
                </c:pt>
              </c:strCache>
            </c:strRef>
          </c:cat>
          <c:val>
            <c:numRef>
              <c:f>Sheet2!$B$16:$B$28</c:f>
              <c:numCache>
                <c:formatCode>#,##0</c:formatCode>
                <c:ptCount val="12"/>
                <c:pt idx="0">
                  <c:v>186102.27999999997</c:v>
                </c:pt>
                <c:pt idx="1">
                  <c:v>171242.76</c:v>
                </c:pt>
                <c:pt idx="2">
                  <c:v>110786.29999999999</c:v>
                </c:pt>
                <c:pt idx="3">
                  <c:v>110449.24</c:v>
                </c:pt>
                <c:pt idx="4">
                  <c:v>106708.86</c:v>
                </c:pt>
                <c:pt idx="5">
                  <c:v>98135.31</c:v>
                </c:pt>
                <c:pt idx="6">
                  <c:v>89156.4</c:v>
                </c:pt>
                <c:pt idx="7">
                  <c:v>84472.68</c:v>
                </c:pt>
                <c:pt idx="8">
                  <c:v>59700.54</c:v>
                </c:pt>
                <c:pt idx="9">
                  <c:v>41341.4</c:v>
                </c:pt>
                <c:pt idx="10">
                  <c:v>33942.17</c:v>
                </c:pt>
                <c:pt idx="11">
                  <c:v>17900.310000000001</c:v>
                </c:pt>
              </c:numCache>
            </c:numRef>
          </c:val>
          <c:extLst>
            <c:ext xmlns:c16="http://schemas.microsoft.com/office/drawing/2014/chart" uri="{C3380CC4-5D6E-409C-BE32-E72D297353CC}">
              <c16:uniqueId val="{00000000-4940-404C-BB3C-2AA2F0779E27}"/>
            </c:ext>
          </c:extLst>
        </c:ser>
        <c:dLbls>
          <c:dLblPos val="outEnd"/>
          <c:showLegendKey val="0"/>
          <c:showVal val="0"/>
          <c:showCatName val="0"/>
          <c:showSerName val="0"/>
          <c:showPercent val="0"/>
          <c:showBubbleSize val="0"/>
        </c:dLbls>
        <c:gapWidth val="115"/>
        <c:overlap val="-20"/>
        <c:axId val="2111740512"/>
        <c:axId val="2111733792"/>
      </c:barChart>
      <c:catAx>
        <c:axId val="2111740512"/>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1733792"/>
        <c:crosses val="autoZero"/>
        <c:auto val="1"/>
        <c:lblAlgn val="ctr"/>
        <c:lblOffset val="100"/>
        <c:noMultiLvlLbl val="0"/>
      </c:catAx>
      <c:valAx>
        <c:axId val="2111733792"/>
        <c:scaling>
          <c:orientation val="minMax"/>
        </c:scaling>
        <c:delete val="1"/>
        <c:axPos val="t"/>
        <c:numFmt formatCode="#,##0" sourceLinked="1"/>
        <c:majorTickMark val="none"/>
        <c:minorTickMark val="none"/>
        <c:tickLblPos val="nextTo"/>
        <c:crossAx val="211174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161713</xdr:colOff>
      <xdr:row>3</xdr:row>
      <xdr:rowOff>99060</xdr:rowOff>
    </xdr:from>
    <xdr:to>
      <xdr:col>6</xdr:col>
      <xdr:colOff>1693</xdr:colOff>
      <xdr:row>16</xdr:row>
      <xdr:rowOff>137160</xdr:rowOff>
    </xdr:to>
    <xdr:graphicFrame macro="">
      <xdr:nvGraphicFramePr>
        <xdr:cNvPr id="2" name="Chart 1">
          <a:extLst>
            <a:ext uri="{FF2B5EF4-FFF2-40B4-BE49-F238E27FC236}">
              <a16:creationId xmlns:a16="http://schemas.microsoft.com/office/drawing/2014/main" id="{425D64A0-C74C-4DBF-B122-0DB7D2992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47414</xdr:colOff>
      <xdr:row>3</xdr:row>
      <xdr:rowOff>107527</xdr:rowOff>
    </xdr:from>
    <xdr:to>
      <xdr:col>11</xdr:col>
      <xdr:colOff>557954</xdr:colOff>
      <xdr:row>16</xdr:row>
      <xdr:rowOff>145627</xdr:rowOff>
    </xdr:to>
    <xdr:graphicFrame macro="">
      <xdr:nvGraphicFramePr>
        <xdr:cNvPr id="3" name="Chart 2">
          <a:extLst>
            <a:ext uri="{FF2B5EF4-FFF2-40B4-BE49-F238E27FC236}">
              <a16:creationId xmlns:a16="http://schemas.microsoft.com/office/drawing/2014/main" id="{3043258E-0784-447E-B475-EC18E6923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9313</xdr:colOff>
      <xdr:row>3</xdr:row>
      <xdr:rowOff>115146</xdr:rowOff>
    </xdr:from>
    <xdr:to>
      <xdr:col>17</xdr:col>
      <xdr:colOff>436033</xdr:colOff>
      <xdr:row>16</xdr:row>
      <xdr:rowOff>153246</xdr:rowOff>
    </xdr:to>
    <xdr:graphicFrame macro="">
      <xdr:nvGraphicFramePr>
        <xdr:cNvPr id="4" name="Chart 3">
          <a:extLst>
            <a:ext uri="{FF2B5EF4-FFF2-40B4-BE49-F238E27FC236}">
              <a16:creationId xmlns:a16="http://schemas.microsoft.com/office/drawing/2014/main" id="{6494E470-3606-4BEB-AF78-61AF4DF4D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159174</xdr:colOff>
      <xdr:row>17</xdr:row>
      <xdr:rowOff>59267</xdr:rowOff>
    </xdr:from>
    <xdr:to>
      <xdr:col>5</xdr:col>
      <xdr:colOff>592667</xdr:colOff>
      <xdr:row>30</xdr:row>
      <xdr:rowOff>88900</xdr:rowOff>
    </xdr:to>
    <xdr:graphicFrame macro="">
      <xdr:nvGraphicFramePr>
        <xdr:cNvPr id="5" name="Chart 4">
          <a:extLst>
            <a:ext uri="{FF2B5EF4-FFF2-40B4-BE49-F238E27FC236}">
              <a16:creationId xmlns:a16="http://schemas.microsoft.com/office/drawing/2014/main" id="{AE5DF76C-8A1E-4D9A-A074-4210E1328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55880</xdr:colOff>
      <xdr:row>17</xdr:row>
      <xdr:rowOff>56727</xdr:rowOff>
    </xdr:from>
    <xdr:to>
      <xdr:col>11</xdr:col>
      <xdr:colOff>543560</xdr:colOff>
      <xdr:row>30</xdr:row>
      <xdr:rowOff>75353</xdr:rowOff>
    </xdr:to>
    <xdr:graphicFrame macro="">
      <xdr:nvGraphicFramePr>
        <xdr:cNvPr id="6" name="Chart 5">
          <a:extLst>
            <a:ext uri="{FF2B5EF4-FFF2-40B4-BE49-F238E27FC236}">
              <a16:creationId xmlns:a16="http://schemas.microsoft.com/office/drawing/2014/main" id="{CEF06F98-E92B-4CBA-BC58-16228DC19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60960</xdr:colOff>
      <xdr:row>17</xdr:row>
      <xdr:rowOff>83820</xdr:rowOff>
    </xdr:from>
    <xdr:to>
      <xdr:col>17</xdr:col>
      <xdr:colOff>342900</xdr:colOff>
      <xdr:row>26</xdr:row>
      <xdr:rowOff>11854</xdr:rowOff>
    </xdr:to>
    <mc:AlternateContent xmlns:mc="http://schemas.openxmlformats.org/markup-compatibility/2006">
      <mc:Choice xmlns:a14="http://schemas.microsoft.com/office/drawing/2010/main" Requires="a14">
        <xdr:graphicFrame macro="">
          <xdr:nvGraphicFramePr>
            <xdr:cNvPr id="7" name="Months (Date) 1">
              <a:extLst>
                <a:ext uri="{FF2B5EF4-FFF2-40B4-BE49-F238E27FC236}">
                  <a16:creationId xmlns:a16="http://schemas.microsoft.com/office/drawing/2014/main" id="{6DB5F511-09C1-4F09-938A-6CB2F5DC58B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7376160" y="3250353"/>
              <a:ext cx="3329940" cy="1604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6.687792476849" createdVersion="8" refreshedVersion="8" minRefreshableVersion="3" recordCount="30" xr:uid="{BC1149C5-2DCD-446D-8E19-1DDE895C8FF1}">
  <cacheSource type="worksheet">
    <worksheetSource ref="A1:H31" sheet="Sales Data"/>
  </cacheSource>
  <cacheFields count="11">
    <cacheField name="Date" numFmtId="14">
      <sharedItems containsSemiMixedTypes="0" containsNonDate="0" containsDate="1" containsString="0" minDate="2025-01-23T00:00:00" maxDate="2026-11-22T00:00:00" count="31">
        <d v="2025-03-02T00:00:00"/>
        <d v="2025-05-08T00:00:00"/>
        <d v="2025-09-09T00:00:00"/>
        <d v="2025-03-04T00:00:00"/>
        <d v="2025-04-03T00:00:00"/>
        <d v="2025-12-08T00:00:00"/>
        <d v="2026-11-21T00:00:00"/>
        <d v="2025-10-22T00:00:00"/>
        <d v="2025-09-27T00:00:00"/>
        <d v="2025-07-22T00:00:00"/>
        <d v="2025-09-12T00:00:00"/>
        <d v="2025-07-27T00:00:00"/>
        <d v="2025-02-07T00:00:00"/>
        <d v="2026-08-03T00:00:00"/>
        <d v="2025-10-11T00:00:00"/>
        <d v="2025-10-28T00:00:00"/>
        <d v="2025-02-12T00:00:00"/>
        <d v="2026-05-24T00:00:00"/>
        <d v="2025-04-07T00:00:00"/>
        <d v="2025-06-28T00:00:00"/>
        <d v="2025-05-01T00:00:00"/>
        <d v="2025-03-12T00:00:00"/>
        <d v="2025-07-08T00:00:00"/>
        <d v="2025-06-23T00:00:00"/>
        <d v="2025-09-11T00:00:00"/>
        <d v="2025-07-15T00:00:00"/>
        <d v="2025-09-07T00:00:00"/>
        <d v="2025-07-29T00:00:00"/>
        <d v="2025-01-23T00:00:00"/>
        <d v="2025-09-08T00:00:00" u="1"/>
        <d v="2025-05-24T00:00:00" u="1"/>
      </sharedItems>
      <fieldGroup par="10"/>
    </cacheField>
    <cacheField name="Product" numFmtId="0">
      <sharedItems count="9">
        <s v="Projector"/>
        <s v="Smartwatch"/>
        <s v="Office Chair"/>
        <s v="Bluetooth Speaker"/>
        <s v="Desk Organizer"/>
        <s v="Printer"/>
        <s v="Wireless Mouse"/>
        <s v="Notebook"/>
        <s v="USB Drive"/>
      </sharedItems>
    </cacheField>
    <cacheField name="Category" numFmtId="0">
      <sharedItems count="5">
        <s v="Office Equipment"/>
        <s v="Electronics"/>
        <s v="Furniture"/>
        <s v="Accessories"/>
        <s v="Stationery"/>
      </sharedItems>
    </cacheField>
    <cacheField name="Sales Rep" numFmtId="0">
      <sharedItems count="8">
        <s v="Mary Johnson"/>
        <s v="Samuel Ade"/>
        <s v="Grace Eze"/>
        <s v="Aisha Bello"/>
        <s v="David Mensah"/>
        <s v="Kelvin Obi"/>
        <s v="Fatima Musa"/>
        <s v="Chinedu Okafor"/>
      </sharedItems>
    </cacheField>
    <cacheField name="City" numFmtId="0">
      <sharedItems count="6">
        <s v="Enugu"/>
        <s v="Abuja"/>
        <s v="Ibadan"/>
        <s v="Port Harcourt"/>
        <s v="Kano"/>
        <s v="Lagos"/>
      </sharedItems>
    </cacheField>
    <cacheField name="Units" numFmtId="0">
      <sharedItems containsSemiMixedTypes="0" containsString="0" containsNumber="1" containsInteger="1" minValue="2" maxValue="20"/>
    </cacheField>
    <cacheField name="Price (₦)" numFmtId="0">
      <sharedItems containsSemiMixedTypes="0" containsString="0" containsNumber="1" minValue="200.31" maxValue="7465.82"/>
    </cacheField>
    <cacheField name="Total Sales (₦)" numFmtId="0">
      <sharedItems containsSemiMixedTypes="0" containsString="0" containsNumber="1" minValue="1201.8599999999999" maxValue="132236.57999999999"/>
    </cacheField>
    <cacheField name="Months (Date)" numFmtId="0" databaseField="0">
      <fieldGroup base="0">
        <rangePr groupBy="months" startDate="2025-01-23T00:00:00" endDate="2026-11-22T00:00:00"/>
        <groupItems count="14">
          <s v="&lt;1/23/2025"/>
          <s v="Jan"/>
          <s v="Feb"/>
          <s v="Mar"/>
          <s v="Apr"/>
          <s v="May"/>
          <s v="Jun"/>
          <s v="Jul"/>
          <s v="Aug"/>
          <s v="Sep"/>
          <s v="Oct"/>
          <s v="Nov"/>
          <s v="Dec"/>
          <s v="&gt;11/22/2026"/>
        </groupItems>
      </fieldGroup>
    </cacheField>
    <cacheField name="Quarters (Date)" numFmtId="0" databaseField="0">
      <fieldGroup base="0">
        <rangePr groupBy="quarters" startDate="2025-01-23T00:00:00" endDate="2026-11-22T00:00:00"/>
        <groupItems count="6">
          <s v="&lt;1/23/2025"/>
          <s v="Qtr1"/>
          <s v="Qtr2"/>
          <s v="Qtr3"/>
          <s v="Qtr4"/>
          <s v="&gt;11/22/2026"/>
        </groupItems>
      </fieldGroup>
    </cacheField>
    <cacheField name="Years (Date)" numFmtId="0" databaseField="0">
      <fieldGroup base="0">
        <rangePr groupBy="years" startDate="2025-01-23T00:00:00" endDate="2026-11-22T00:00:00"/>
        <groupItems count="4">
          <s v="&lt;1/23/2025"/>
          <s v="2025"/>
          <s v="2026"/>
          <s v="&gt;11/22/2026"/>
        </groupItems>
      </fieldGroup>
    </cacheField>
  </cacheFields>
  <extLst>
    <ext xmlns:x14="http://schemas.microsoft.com/office/spreadsheetml/2009/9/main" uri="{725AE2AE-9491-48be-B2B4-4EB974FC3084}">
      <x14:pivotCacheDefinition pivotCacheId="253024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n v="13"/>
    <n v="1484.21"/>
    <n v="19294.73"/>
  </r>
  <r>
    <x v="1"/>
    <x v="1"/>
    <x v="1"/>
    <x v="1"/>
    <x v="1"/>
    <n v="5"/>
    <n v="3018.64"/>
    <n v="15093.2"/>
  </r>
  <r>
    <x v="2"/>
    <x v="2"/>
    <x v="2"/>
    <x v="2"/>
    <x v="2"/>
    <n v="8"/>
    <n v="5403.46"/>
    <n v="43227.68"/>
  </r>
  <r>
    <x v="3"/>
    <x v="3"/>
    <x v="1"/>
    <x v="1"/>
    <x v="3"/>
    <n v="5"/>
    <n v="7050.77"/>
    <n v="35253.85"/>
  </r>
  <r>
    <x v="4"/>
    <x v="0"/>
    <x v="0"/>
    <x v="3"/>
    <x v="4"/>
    <n v="4"/>
    <n v="2084.9499999999998"/>
    <n v="8339.7999999999993"/>
  </r>
  <r>
    <x v="5"/>
    <x v="4"/>
    <x v="2"/>
    <x v="4"/>
    <x v="2"/>
    <n v="18"/>
    <n v="5928.27"/>
    <n v="106708.86"/>
  </r>
  <r>
    <x v="6"/>
    <x v="0"/>
    <x v="0"/>
    <x v="5"/>
    <x v="3"/>
    <n v="3"/>
    <n v="5966.77"/>
    <n v="17900.310000000001"/>
  </r>
  <r>
    <x v="7"/>
    <x v="1"/>
    <x v="1"/>
    <x v="2"/>
    <x v="1"/>
    <n v="6"/>
    <n v="7184.95"/>
    <n v="43109.7"/>
  </r>
  <r>
    <x v="8"/>
    <x v="5"/>
    <x v="0"/>
    <x v="0"/>
    <x v="5"/>
    <n v="16"/>
    <n v="4627.13"/>
    <n v="74034.080000000002"/>
  </r>
  <r>
    <x v="9"/>
    <x v="2"/>
    <x v="2"/>
    <x v="5"/>
    <x v="3"/>
    <n v="17"/>
    <n v="1862.87"/>
    <n v="31668.79"/>
  </r>
  <r>
    <x v="10"/>
    <x v="3"/>
    <x v="1"/>
    <x v="6"/>
    <x v="1"/>
    <n v="3"/>
    <n v="7465.82"/>
    <n v="22397.46"/>
  </r>
  <r>
    <x v="11"/>
    <x v="6"/>
    <x v="3"/>
    <x v="6"/>
    <x v="2"/>
    <n v="14"/>
    <n v="1069.53"/>
    <n v="14973.42"/>
  </r>
  <r>
    <x v="12"/>
    <x v="7"/>
    <x v="4"/>
    <x v="0"/>
    <x v="1"/>
    <n v="12"/>
    <n v="4874.8900000000003"/>
    <n v="58498.68"/>
  </r>
  <r>
    <x v="10"/>
    <x v="4"/>
    <x v="2"/>
    <x v="2"/>
    <x v="5"/>
    <n v="2"/>
    <n v="6293.16"/>
    <n v="12586.32"/>
  </r>
  <r>
    <x v="13"/>
    <x v="8"/>
    <x v="3"/>
    <x v="2"/>
    <x v="1"/>
    <n v="19"/>
    <n v="1786.43"/>
    <n v="33942.17"/>
  </r>
  <r>
    <x v="14"/>
    <x v="6"/>
    <x v="3"/>
    <x v="5"/>
    <x v="4"/>
    <n v="8"/>
    <n v="1344.5"/>
    <n v="10756"/>
  </r>
  <r>
    <x v="15"/>
    <x v="1"/>
    <x v="1"/>
    <x v="7"/>
    <x v="1"/>
    <n v="19"/>
    <n v="6959.82"/>
    <n v="132236.57999999999"/>
  </r>
  <r>
    <x v="16"/>
    <x v="8"/>
    <x v="3"/>
    <x v="3"/>
    <x v="3"/>
    <n v="6"/>
    <n v="200.31"/>
    <n v="1201.8599999999999"/>
  </r>
  <r>
    <x v="17"/>
    <x v="1"/>
    <x v="1"/>
    <x v="5"/>
    <x v="3"/>
    <n v="2"/>
    <n v="5696.85"/>
    <n v="11393.7"/>
  </r>
  <r>
    <x v="18"/>
    <x v="7"/>
    <x v="4"/>
    <x v="5"/>
    <x v="4"/>
    <n v="16"/>
    <n v="6381.84"/>
    <n v="102109.44"/>
  </r>
  <r>
    <x v="19"/>
    <x v="3"/>
    <x v="1"/>
    <x v="4"/>
    <x v="1"/>
    <n v="12"/>
    <n v="2720.17"/>
    <n v="32642.04"/>
  </r>
  <r>
    <x v="20"/>
    <x v="8"/>
    <x v="3"/>
    <x v="5"/>
    <x v="1"/>
    <n v="12"/>
    <n v="7024.95"/>
    <n v="84299.4"/>
  </r>
  <r>
    <x v="21"/>
    <x v="4"/>
    <x v="2"/>
    <x v="7"/>
    <x v="2"/>
    <n v="9"/>
    <n v="3324.9"/>
    <n v="29924.1"/>
  </r>
  <r>
    <x v="22"/>
    <x v="2"/>
    <x v="2"/>
    <x v="7"/>
    <x v="3"/>
    <n v="4"/>
    <n v="6030.2"/>
    <n v="24120.799999999999"/>
  </r>
  <r>
    <x v="23"/>
    <x v="4"/>
    <x v="2"/>
    <x v="4"/>
    <x v="1"/>
    <n v="8"/>
    <n v="1087.42"/>
    <n v="8699.36"/>
  </r>
  <r>
    <x v="24"/>
    <x v="7"/>
    <x v="4"/>
    <x v="7"/>
    <x v="0"/>
    <n v="20"/>
    <n v="463.56"/>
    <n v="9271.2000000000007"/>
  </r>
  <r>
    <x v="25"/>
    <x v="3"/>
    <x v="1"/>
    <x v="5"/>
    <x v="2"/>
    <n v="3"/>
    <n v="4661.54"/>
    <n v="13984.62"/>
  </r>
  <r>
    <x v="26"/>
    <x v="2"/>
    <x v="2"/>
    <x v="3"/>
    <x v="3"/>
    <n v="2"/>
    <n v="4863.01"/>
    <n v="9726.02"/>
  </r>
  <r>
    <x v="27"/>
    <x v="6"/>
    <x v="3"/>
    <x v="0"/>
    <x v="0"/>
    <n v="16"/>
    <n v="836.73"/>
    <n v="13387.68"/>
  </r>
  <r>
    <x v="28"/>
    <x v="2"/>
    <x v="2"/>
    <x v="5"/>
    <x v="1"/>
    <n v="12"/>
    <n v="7429.7"/>
    <n v="8915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3185DF-1D30-4491-B48A-E4CD77522F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9" firstHeaderRow="1" firstDataRow="1" firstDataCol="1"/>
  <pivotFields count="11">
    <pivotField showAll="0">
      <items count="32">
        <item x="28"/>
        <item x="12"/>
        <item x="16"/>
        <item x="0"/>
        <item x="3"/>
        <item x="21"/>
        <item x="4"/>
        <item x="18"/>
        <item x="20"/>
        <item x="1"/>
        <item m="1" x="30"/>
        <item x="23"/>
        <item x="19"/>
        <item x="22"/>
        <item x="25"/>
        <item x="9"/>
        <item x="11"/>
        <item x="27"/>
        <item x="26"/>
        <item m="1" x="29"/>
        <item x="2"/>
        <item x="24"/>
        <item x="10"/>
        <item x="8"/>
        <item x="14"/>
        <item x="7"/>
        <item x="15"/>
        <item x="17"/>
        <item x="13"/>
        <item x="6"/>
        <item x="5"/>
        <item t="default"/>
      </items>
    </pivotField>
    <pivotField showAll="0"/>
    <pivotField axis="axisRow" showAll="0">
      <items count="6">
        <item x="3"/>
        <item x="1"/>
        <item x="2"/>
        <item x="0"/>
        <item x="4"/>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Total Sales (₦)" fld="7" baseField="0" baseItem="0" numFmtId="3"/>
  </dataFields>
  <formats count="2">
    <format dxfId="86">
      <pivotArea outline="0" collapsedLevelsAreSubtotals="1" fieldPosition="0"/>
    </format>
    <format dxfId="85">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 chart="7" format="5">
      <pivotArea type="data" outline="0" fieldPosition="0">
        <references count="2">
          <reference field="4294967294" count="1" selected="0">
            <x v="0"/>
          </reference>
          <reference field="2" count="1" selected="0">
            <x v="3"/>
          </reference>
        </references>
      </pivotArea>
    </chartFormat>
    <chartFormat chart="7" format="6">
      <pivotArea type="data" outline="0" fieldPosition="0">
        <references count="2">
          <reference field="4294967294" count="1" selected="0">
            <x v="0"/>
          </reference>
          <reference field="2"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2">
          <reference field="4294967294" count="1" selected="0">
            <x v="0"/>
          </reference>
          <reference field="2" count="1" selected="0">
            <x v="1"/>
          </reference>
        </references>
      </pivotArea>
    </chartFormat>
    <chartFormat chart="8" format="10">
      <pivotArea type="data" outline="0" fieldPosition="0">
        <references count="2">
          <reference field="4294967294" count="1" selected="0">
            <x v="0"/>
          </reference>
          <reference field="2" count="1" selected="0">
            <x v="2"/>
          </reference>
        </references>
      </pivotArea>
    </chartFormat>
    <chartFormat chart="8" format="11">
      <pivotArea type="data" outline="0" fieldPosition="0">
        <references count="2">
          <reference field="4294967294" count="1" selected="0">
            <x v="0"/>
          </reference>
          <reference field="2" count="1" selected="0">
            <x v="3"/>
          </reference>
        </references>
      </pivotArea>
    </chartFormat>
    <chartFormat chart="8"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0615C7-A9E8-4153-A2D3-7DC8285FEE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ales Reps">
  <location ref="G3:H12" firstHeaderRow="1" firstDataRow="1" firstDataCol="1"/>
  <pivotFields count="11">
    <pivotField showAll="0">
      <items count="32">
        <item x="28"/>
        <item x="12"/>
        <item x="16"/>
        <item x="0"/>
        <item x="3"/>
        <item x="21"/>
        <item x="4"/>
        <item x="18"/>
        <item x="20"/>
        <item x="1"/>
        <item m="1" x="30"/>
        <item x="23"/>
        <item x="19"/>
        <item x="22"/>
        <item x="25"/>
        <item x="9"/>
        <item x="11"/>
        <item x="27"/>
        <item x="26"/>
        <item m="1" x="29"/>
        <item x="2"/>
        <item x="24"/>
        <item x="10"/>
        <item x="8"/>
        <item x="14"/>
        <item x="7"/>
        <item x="15"/>
        <item x="17"/>
        <item x="13"/>
        <item x="6"/>
        <item x="5"/>
        <item t="default"/>
      </items>
    </pivotField>
    <pivotField showAll="0"/>
    <pivotField showAll="0"/>
    <pivotField axis="axisRow" showAll="0" sortType="descending">
      <items count="9">
        <item x="3"/>
        <item x="7"/>
        <item x="4"/>
        <item x="6"/>
        <item x="2"/>
        <item x="5"/>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5"/>
    </i>
    <i>
      <x v="1"/>
    </i>
    <i>
      <x v="6"/>
    </i>
    <i>
      <x v="2"/>
    </i>
    <i>
      <x v="4"/>
    </i>
    <i>
      <x v="7"/>
    </i>
    <i>
      <x v="3"/>
    </i>
    <i>
      <x/>
    </i>
    <i t="grand">
      <x/>
    </i>
  </rowItems>
  <colItems count="1">
    <i/>
  </colItems>
  <dataFields count="1">
    <dataField name="Sum of Total Sales (₦)" fld="7" baseField="0" baseItem="0" numFmtId="3"/>
  </dataFields>
  <formats count="2">
    <format dxfId="88">
      <pivotArea outline="0" collapsedLevelsAreSubtotals="1" fieldPosition="0"/>
    </format>
    <format dxfId="8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9B424C-C91A-432B-B100-526B0F24AF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location ref="D3:E13" firstHeaderRow="1" firstDataRow="1" firstDataCol="1"/>
  <pivotFields count="11">
    <pivotField showAll="0">
      <items count="32">
        <item x="28"/>
        <item x="12"/>
        <item x="16"/>
        <item x="0"/>
        <item x="3"/>
        <item x="21"/>
        <item x="4"/>
        <item x="18"/>
        <item x="20"/>
        <item x="1"/>
        <item m="1" x="30"/>
        <item x="23"/>
        <item x="19"/>
        <item x="22"/>
        <item x="25"/>
        <item x="9"/>
        <item x="11"/>
        <item x="27"/>
        <item x="26"/>
        <item m="1" x="29"/>
        <item x="2"/>
        <item x="24"/>
        <item x="10"/>
        <item x="8"/>
        <item x="14"/>
        <item x="7"/>
        <item x="15"/>
        <item x="17"/>
        <item x="13"/>
        <item x="6"/>
        <item x="5"/>
        <item t="default"/>
      </items>
    </pivotField>
    <pivotField axis="axisRow" showAll="0" sortType="descending">
      <items count="10">
        <item x="3"/>
        <item x="4"/>
        <item x="7"/>
        <item x="2"/>
        <item x="5"/>
        <item x="0"/>
        <item x="1"/>
        <item x="8"/>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0">
    <i>
      <x v="6"/>
    </i>
    <i>
      <x v="3"/>
    </i>
    <i>
      <x v="2"/>
    </i>
    <i>
      <x v="1"/>
    </i>
    <i>
      <x v="7"/>
    </i>
    <i>
      <x/>
    </i>
    <i>
      <x v="4"/>
    </i>
    <i>
      <x v="5"/>
    </i>
    <i>
      <x v="8"/>
    </i>
    <i t="grand">
      <x/>
    </i>
  </rowItems>
  <colItems count="1">
    <i/>
  </colItems>
  <dataFields count="1">
    <dataField name="Sum of Total Sales (₦)" fld="7" baseField="0" baseItem="0" numFmtId="3"/>
  </dataFields>
  <formats count="2">
    <format dxfId="90">
      <pivotArea outline="0" collapsedLevelsAreSubtotals="1" fieldPosition="0"/>
    </format>
    <format dxfId="8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58951A-B95E-42F7-849E-A90FED8E1B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1">
    <pivotField showAll="0">
      <items count="32">
        <item x="28"/>
        <item x="12"/>
        <item x="16"/>
        <item x="0"/>
        <item x="3"/>
        <item x="21"/>
        <item x="4"/>
        <item x="18"/>
        <item x="20"/>
        <item x="1"/>
        <item m="1" x="30"/>
        <item x="23"/>
        <item x="19"/>
        <item x="22"/>
        <item x="25"/>
        <item x="9"/>
        <item x="11"/>
        <item x="27"/>
        <item x="26"/>
        <item m="1" x="29"/>
        <item x="2"/>
        <item x="24"/>
        <item x="10"/>
        <item x="8"/>
        <item x="14"/>
        <item x="7"/>
        <item x="15"/>
        <item x="17"/>
        <item x="13"/>
        <item x="6"/>
        <item x="5"/>
        <item t="default"/>
      </items>
    </pivotField>
    <pivotField showAll="0"/>
    <pivotField showAll="0"/>
    <pivotField showAll="0"/>
    <pivotField axis="axisRow" showAll="0">
      <items count="7">
        <item x="1"/>
        <item x="0"/>
        <item x="2"/>
        <item x="4"/>
        <item x="5"/>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Items count="1">
    <i/>
  </colItems>
  <dataFields count="1">
    <dataField name="Sum of Total Sales (₦)" fld="7" baseField="0" baseItem="0" numFmtId="3"/>
  </dataFields>
  <formats count="2">
    <format dxfId="92">
      <pivotArea outline="0" collapsedLevelsAreSubtotals="1" fieldPosition="0"/>
    </format>
    <format dxfId="9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890982-0CA9-4E04-9777-9A57CC9C9D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5:B28" firstHeaderRow="1" firstDataRow="1" firstDataCol="1"/>
  <pivotFields count="11">
    <pivotField showAll="0">
      <items count="32">
        <item x="28"/>
        <item x="12"/>
        <item x="16"/>
        <item x="0"/>
        <item x="3"/>
        <item x="21"/>
        <item x="4"/>
        <item x="18"/>
        <item x="20"/>
        <item x="1"/>
        <item m="1" x="30"/>
        <item x="23"/>
        <item x="19"/>
        <item x="22"/>
        <item x="25"/>
        <item x="9"/>
        <item x="11"/>
        <item x="27"/>
        <item x="26"/>
        <item m="1" x="29"/>
        <item x="2"/>
        <item x="24"/>
        <item x="10"/>
        <item x="8"/>
        <item x="14"/>
        <item x="7"/>
        <item x="15"/>
        <item x="17"/>
        <item x="13"/>
        <item x="6"/>
        <item x="5"/>
        <item t="default"/>
      </items>
    </pivotField>
    <pivotField showAll="0"/>
    <pivotField showAll="0"/>
    <pivotField showAll="0"/>
    <pivotField showAll="0"/>
    <pivotField showAll="0"/>
    <pivotField showAll="0"/>
    <pivotField dataField="1" showAll="0"/>
    <pivotField axis="axisRow" showAll="0" sortType="descending">
      <items count="15">
        <item sd="0" x="0"/>
        <item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0"/>
    </i>
    <i>
      <x v="9"/>
    </i>
    <i>
      <x v="5"/>
    </i>
    <i>
      <x v="4"/>
    </i>
    <i>
      <x v="12"/>
    </i>
    <i>
      <x v="7"/>
    </i>
    <i>
      <x v="1"/>
    </i>
    <i>
      <x v="3"/>
    </i>
    <i>
      <x v="2"/>
    </i>
    <i>
      <x v="6"/>
    </i>
    <i>
      <x v="8"/>
    </i>
    <i>
      <x v="11"/>
    </i>
    <i t="grand">
      <x/>
    </i>
  </rowItems>
  <colItems count="1">
    <i/>
  </colItems>
  <dataFields count="1">
    <dataField name="Sum of Total Sales (₦)" fld="7" baseField="0" baseItem="0" numFmtId="3"/>
  </dataFields>
  <formats count="3">
    <format dxfId="95">
      <pivotArea outline="0" collapsedLevelsAreSubtotals="1" fieldPosition="0"/>
    </format>
    <format dxfId="94">
      <pivotArea field="0" type="button" dataOnly="0" labelOnly="1" outline="0"/>
    </format>
    <format dxfId="9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BFC115D-3677-4781-8C82-F7D362E1ECDE}" sourceName="Months (Date)">
  <pivotTables>
    <pivotTable tabId="3" name="PivotTable5"/>
    <pivotTable tabId="3" name="PivotTable1"/>
    <pivotTable tabId="3" name="PivotTable2"/>
    <pivotTable tabId="3" name="PivotTable3"/>
    <pivotTable tabId="3" name="PivotTable4"/>
  </pivotTables>
  <data>
    <tabular pivotCacheId="25302420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ED81BF3B-0E09-4909-833A-43DB8B874B94}" cache="Slicer_Months__Date" caption="Months (Date)" columnCount="4"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15CA2-901E-450E-A980-A3C8BAF530F6}">
  <dimension ref="A3:K28"/>
  <sheetViews>
    <sheetView workbookViewId="0">
      <selection activeCell="B21" sqref="B21"/>
    </sheetView>
  </sheetViews>
  <sheetFormatPr defaultRowHeight="14.4" x14ac:dyDescent="0.3"/>
  <cols>
    <col min="1" max="1" width="12.5546875" bestFit="1" customWidth="1"/>
    <col min="2" max="2" width="19.6640625" bestFit="1" customWidth="1"/>
    <col min="4" max="4" width="16.109375" bestFit="1" customWidth="1"/>
    <col min="5" max="5" width="19.6640625" bestFit="1" customWidth="1"/>
    <col min="7" max="7" width="13.77734375" bestFit="1" customWidth="1"/>
    <col min="8" max="8" width="19.6640625" bestFit="1" customWidth="1"/>
    <col min="10" max="10" width="15.21875" bestFit="1" customWidth="1"/>
    <col min="11" max="11" width="19.6640625" bestFit="1" customWidth="1"/>
  </cols>
  <sheetData>
    <row r="3" spans="1:11" x14ac:dyDescent="0.3">
      <c r="A3" s="2" t="s">
        <v>36</v>
      </c>
      <c r="B3" s="4" t="s">
        <v>38</v>
      </c>
      <c r="D3" s="2" t="s">
        <v>1</v>
      </c>
      <c r="E3" s="4" t="s">
        <v>38</v>
      </c>
      <c r="G3" s="2" t="s">
        <v>52</v>
      </c>
      <c r="H3" s="4" t="s">
        <v>38</v>
      </c>
      <c r="J3" s="2" t="s">
        <v>36</v>
      </c>
      <c r="K3" s="4" t="s">
        <v>38</v>
      </c>
    </row>
    <row r="4" spans="1:11" x14ac:dyDescent="0.3">
      <c r="A4" s="3" t="s">
        <v>15</v>
      </c>
      <c r="B4" s="4">
        <v>520074.98999999987</v>
      </c>
      <c r="D4" s="3" t="s">
        <v>12</v>
      </c>
      <c r="E4" s="4">
        <v>201833.18</v>
      </c>
      <c r="G4" s="3" t="s">
        <v>26</v>
      </c>
      <c r="H4" s="4">
        <v>361268.66000000003</v>
      </c>
      <c r="J4" s="3" t="s">
        <v>31</v>
      </c>
      <c r="K4" s="4">
        <v>158560.52999999997</v>
      </c>
    </row>
    <row r="5" spans="1:11" x14ac:dyDescent="0.3">
      <c r="A5" s="3" t="s">
        <v>11</v>
      </c>
      <c r="B5" s="4">
        <v>41953.61</v>
      </c>
      <c r="D5" s="3" t="s">
        <v>16</v>
      </c>
      <c r="E5" s="4">
        <v>197899.69</v>
      </c>
      <c r="G5" s="3" t="s">
        <v>35</v>
      </c>
      <c r="H5" s="4">
        <v>195552.68</v>
      </c>
      <c r="J5" s="3" t="s">
        <v>13</v>
      </c>
      <c r="K5" s="4">
        <v>306111.14999999997</v>
      </c>
    </row>
    <row r="6" spans="1:11" x14ac:dyDescent="0.3">
      <c r="A6" s="3" t="s">
        <v>19</v>
      </c>
      <c r="B6" s="4">
        <v>208818.68000000002</v>
      </c>
      <c r="D6" s="3" t="s">
        <v>32</v>
      </c>
      <c r="E6" s="4">
        <v>169879.32</v>
      </c>
      <c r="G6" s="3" t="s">
        <v>10</v>
      </c>
      <c r="H6" s="4">
        <v>165215.16999999998</v>
      </c>
      <c r="J6" s="3" t="s">
        <v>17</v>
      </c>
      <c r="K6" s="4">
        <v>355818.33000000007</v>
      </c>
    </row>
    <row r="7" spans="1:11" x14ac:dyDescent="0.3">
      <c r="A7" s="3" t="s">
        <v>23</v>
      </c>
      <c r="B7" s="4">
        <v>121205.24</v>
      </c>
      <c r="D7" s="3" t="s">
        <v>24</v>
      </c>
      <c r="E7" s="4">
        <v>157918.64000000001</v>
      </c>
      <c r="G7" s="3" t="s">
        <v>25</v>
      </c>
      <c r="H7" s="4">
        <v>148050.26</v>
      </c>
      <c r="J7" s="3" t="s">
        <v>9</v>
      </c>
      <c r="K7" s="4">
        <v>119568.92</v>
      </c>
    </row>
    <row r="8" spans="1:11" x14ac:dyDescent="0.3">
      <c r="A8" s="3" t="s">
        <v>28</v>
      </c>
      <c r="B8" s="4">
        <v>86620.4</v>
      </c>
      <c r="D8" s="3" t="s">
        <v>34</v>
      </c>
      <c r="E8" s="4">
        <v>119443.43</v>
      </c>
      <c r="G8" s="3" t="s">
        <v>18</v>
      </c>
      <c r="H8" s="4">
        <v>132865.87</v>
      </c>
      <c r="J8" s="3" t="s">
        <v>33</v>
      </c>
      <c r="K8" s="4">
        <v>169879.32</v>
      </c>
    </row>
    <row r="9" spans="1:11" x14ac:dyDescent="0.3">
      <c r="A9" s="3" t="s">
        <v>21</v>
      </c>
      <c r="B9" s="4">
        <v>131265.33000000002</v>
      </c>
      <c r="D9" s="3" t="s">
        <v>20</v>
      </c>
      <c r="E9" s="4">
        <v>104277.97</v>
      </c>
      <c r="G9" s="3" t="s">
        <v>14</v>
      </c>
      <c r="H9" s="4">
        <v>50347.05</v>
      </c>
      <c r="J9" s="3" t="s">
        <v>37</v>
      </c>
      <c r="K9" s="4">
        <v>1109938.25</v>
      </c>
    </row>
    <row r="10" spans="1:11" x14ac:dyDescent="0.3">
      <c r="A10" s="3" t="s">
        <v>37</v>
      </c>
      <c r="B10" s="4">
        <v>1109938.25</v>
      </c>
      <c r="D10" s="3" t="s">
        <v>27</v>
      </c>
      <c r="E10" s="4">
        <v>74034.080000000002</v>
      </c>
      <c r="G10" s="3" t="s">
        <v>29</v>
      </c>
      <c r="H10" s="4">
        <v>37370.879999999997</v>
      </c>
    </row>
    <row r="11" spans="1:11" x14ac:dyDescent="0.3">
      <c r="D11" s="3" t="s">
        <v>8</v>
      </c>
      <c r="E11" s="4">
        <v>45534.84</v>
      </c>
      <c r="G11" s="3" t="s">
        <v>22</v>
      </c>
      <c r="H11" s="4">
        <v>19267.68</v>
      </c>
    </row>
    <row r="12" spans="1:11" x14ac:dyDescent="0.3">
      <c r="D12" s="3" t="s">
        <v>30</v>
      </c>
      <c r="E12" s="4">
        <v>39117.1</v>
      </c>
      <c r="G12" s="3" t="s">
        <v>37</v>
      </c>
      <c r="H12" s="4">
        <v>1109938.25</v>
      </c>
    </row>
    <row r="13" spans="1:11" x14ac:dyDescent="0.3">
      <c r="D13" s="3" t="s">
        <v>37</v>
      </c>
      <c r="E13" s="4">
        <v>1109938.25</v>
      </c>
    </row>
    <row r="15" spans="1:11" x14ac:dyDescent="0.3">
      <c r="A15" s="2" t="s">
        <v>36</v>
      </c>
      <c r="B15" s="11" t="s">
        <v>38</v>
      </c>
    </row>
    <row r="16" spans="1:11" x14ac:dyDescent="0.3">
      <c r="A16" s="3" t="s">
        <v>48</v>
      </c>
      <c r="B16" s="4">
        <v>186102.27999999997</v>
      </c>
    </row>
    <row r="17" spans="1:2" x14ac:dyDescent="0.3">
      <c r="A17" s="3" t="s">
        <v>47</v>
      </c>
      <c r="B17" s="4">
        <v>171242.76</v>
      </c>
    </row>
    <row r="18" spans="1:2" x14ac:dyDescent="0.3">
      <c r="A18" s="3" t="s">
        <v>43</v>
      </c>
      <c r="B18" s="4">
        <v>110786.29999999999</v>
      </c>
    </row>
    <row r="19" spans="1:2" x14ac:dyDescent="0.3">
      <c r="A19" s="3" t="s">
        <v>42</v>
      </c>
      <c r="B19" s="4">
        <v>110449.24</v>
      </c>
    </row>
    <row r="20" spans="1:2" x14ac:dyDescent="0.3">
      <c r="A20" s="3" t="s">
        <v>50</v>
      </c>
      <c r="B20" s="4">
        <v>106708.86</v>
      </c>
    </row>
    <row r="21" spans="1:2" x14ac:dyDescent="0.3">
      <c r="A21" s="3" t="s">
        <v>45</v>
      </c>
      <c r="B21" s="4">
        <v>98135.31</v>
      </c>
    </row>
    <row r="22" spans="1:2" x14ac:dyDescent="0.3">
      <c r="A22" s="3" t="s">
        <v>39</v>
      </c>
      <c r="B22" s="4">
        <v>89156.4</v>
      </c>
    </row>
    <row r="23" spans="1:2" x14ac:dyDescent="0.3">
      <c r="A23" s="3" t="s">
        <v>41</v>
      </c>
      <c r="B23" s="4">
        <v>84472.68</v>
      </c>
    </row>
    <row r="24" spans="1:2" x14ac:dyDescent="0.3">
      <c r="A24" s="3" t="s">
        <v>40</v>
      </c>
      <c r="B24" s="4">
        <v>59700.54</v>
      </c>
    </row>
    <row r="25" spans="1:2" x14ac:dyDescent="0.3">
      <c r="A25" s="3" t="s">
        <v>44</v>
      </c>
      <c r="B25" s="4">
        <v>41341.4</v>
      </c>
    </row>
    <row r="26" spans="1:2" x14ac:dyDescent="0.3">
      <c r="A26" s="3" t="s">
        <v>46</v>
      </c>
      <c r="B26" s="4">
        <v>33942.17</v>
      </c>
    </row>
    <row r="27" spans="1:2" x14ac:dyDescent="0.3">
      <c r="A27" s="3" t="s">
        <v>49</v>
      </c>
      <c r="B27" s="4">
        <v>17900.310000000001</v>
      </c>
    </row>
    <row r="28" spans="1:2" x14ac:dyDescent="0.3">
      <c r="A28" s="3" t="s">
        <v>37</v>
      </c>
      <c r="B28" s="4">
        <v>1109938.2500000002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workbookViewId="0">
      <selection activeCell="I3" sqref="I3"/>
    </sheetView>
  </sheetViews>
  <sheetFormatPr defaultRowHeight="14.4" x14ac:dyDescent="0.3"/>
  <cols>
    <col min="1" max="1" width="13.88671875" style="5" customWidth="1"/>
    <col min="2" max="2" width="22" customWidth="1"/>
    <col min="3" max="3" width="21" customWidth="1"/>
    <col min="4" max="4" width="19" customWidth="1"/>
    <col min="5" max="5" width="18" customWidth="1"/>
    <col min="6" max="6" width="10" customWidth="1"/>
    <col min="7" max="7" width="14" customWidth="1"/>
    <col min="8" max="8" width="20" customWidth="1"/>
  </cols>
  <sheetData>
    <row r="1" spans="1:8" x14ac:dyDescent="0.3">
      <c r="A1" s="7" t="s">
        <v>0</v>
      </c>
      <c r="B1" s="1" t="s">
        <v>1</v>
      </c>
      <c r="C1" s="8" t="s">
        <v>2</v>
      </c>
      <c r="D1" s="1" t="s">
        <v>3</v>
      </c>
      <c r="E1" s="1" t="s">
        <v>4</v>
      </c>
      <c r="F1" s="1" t="s">
        <v>5</v>
      </c>
      <c r="G1" s="1" t="s">
        <v>6</v>
      </c>
      <c r="H1" s="1" t="s">
        <v>7</v>
      </c>
    </row>
    <row r="2" spans="1:8" x14ac:dyDescent="0.3">
      <c r="A2" s="6">
        <v>45718</v>
      </c>
      <c r="B2" t="s">
        <v>8</v>
      </c>
      <c r="C2" s="9" t="s">
        <v>9</v>
      </c>
      <c r="D2" t="s">
        <v>10</v>
      </c>
      <c r="E2" t="s">
        <v>11</v>
      </c>
      <c r="F2">
        <v>13</v>
      </c>
      <c r="G2">
        <v>1484.21</v>
      </c>
      <c r="H2">
        <v>19294.73</v>
      </c>
    </row>
    <row r="3" spans="1:8" x14ac:dyDescent="0.3">
      <c r="A3" s="6">
        <v>45785</v>
      </c>
      <c r="B3" t="s">
        <v>12</v>
      </c>
      <c r="C3" s="9" t="s">
        <v>13</v>
      </c>
      <c r="D3" t="s">
        <v>14</v>
      </c>
      <c r="E3" t="s">
        <v>15</v>
      </c>
      <c r="F3">
        <v>5</v>
      </c>
      <c r="G3">
        <v>3018.64</v>
      </c>
      <c r="H3">
        <v>15093.2</v>
      </c>
    </row>
    <row r="4" spans="1:8" x14ac:dyDescent="0.3">
      <c r="A4" s="6">
        <v>45909</v>
      </c>
      <c r="B4" t="s">
        <v>16</v>
      </c>
      <c r="C4" s="9" t="s">
        <v>17</v>
      </c>
      <c r="D4" t="s">
        <v>18</v>
      </c>
      <c r="E4" t="s">
        <v>19</v>
      </c>
      <c r="F4">
        <v>8</v>
      </c>
      <c r="G4">
        <v>5403.46</v>
      </c>
      <c r="H4">
        <v>43227.68</v>
      </c>
    </row>
    <row r="5" spans="1:8" x14ac:dyDescent="0.3">
      <c r="A5" s="6">
        <v>45720</v>
      </c>
      <c r="B5" t="s">
        <v>20</v>
      </c>
      <c r="C5" s="9" t="s">
        <v>13</v>
      </c>
      <c r="D5" t="s">
        <v>14</v>
      </c>
      <c r="E5" t="s">
        <v>21</v>
      </c>
      <c r="F5">
        <v>5</v>
      </c>
      <c r="G5">
        <v>7050.77</v>
      </c>
      <c r="H5">
        <v>35253.85</v>
      </c>
    </row>
    <row r="6" spans="1:8" x14ac:dyDescent="0.3">
      <c r="A6" s="6">
        <v>45750</v>
      </c>
      <c r="B6" t="s">
        <v>8</v>
      </c>
      <c r="C6" s="9" t="s">
        <v>9</v>
      </c>
      <c r="D6" t="s">
        <v>22</v>
      </c>
      <c r="E6" t="s">
        <v>23</v>
      </c>
      <c r="F6">
        <v>4</v>
      </c>
      <c r="G6">
        <v>2084.9499999999998</v>
      </c>
      <c r="H6">
        <v>8339.7999999999993</v>
      </c>
    </row>
    <row r="7" spans="1:8" x14ac:dyDescent="0.3">
      <c r="A7" s="6">
        <v>45999</v>
      </c>
      <c r="B7" t="s">
        <v>24</v>
      </c>
      <c r="C7" s="9" t="s">
        <v>17</v>
      </c>
      <c r="D7" t="s">
        <v>25</v>
      </c>
      <c r="E7" t="s">
        <v>19</v>
      </c>
      <c r="F7">
        <v>18</v>
      </c>
      <c r="G7">
        <v>5928.27</v>
      </c>
      <c r="H7">
        <v>106708.86</v>
      </c>
    </row>
    <row r="8" spans="1:8" x14ac:dyDescent="0.3">
      <c r="A8" s="6">
        <v>46347</v>
      </c>
      <c r="B8" t="s">
        <v>8</v>
      </c>
      <c r="C8" s="9" t="s">
        <v>9</v>
      </c>
      <c r="D8" t="s">
        <v>26</v>
      </c>
      <c r="E8" t="s">
        <v>21</v>
      </c>
      <c r="F8">
        <v>3</v>
      </c>
      <c r="G8">
        <v>5966.77</v>
      </c>
      <c r="H8">
        <v>17900.310000000001</v>
      </c>
    </row>
    <row r="9" spans="1:8" x14ac:dyDescent="0.3">
      <c r="A9" s="6">
        <v>45952</v>
      </c>
      <c r="B9" t="s">
        <v>12</v>
      </c>
      <c r="C9" s="9" t="s">
        <v>13</v>
      </c>
      <c r="D9" t="s">
        <v>18</v>
      </c>
      <c r="E9" t="s">
        <v>15</v>
      </c>
      <c r="F9">
        <v>6</v>
      </c>
      <c r="G9">
        <v>7184.95</v>
      </c>
      <c r="H9">
        <v>43109.7</v>
      </c>
    </row>
    <row r="10" spans="1:8" x14ac:dyDescent="0.3">
      <c r="A10" s="6">
        <v>45927</v>
      </c>
      <c r="B10" t="s">
        <v>27</v>
      </c>
      <c r="C10" s="9" t="s">
        <v>9</v>
      </c>
      <c r="D10" t="s">
        <v>10</v>
      </c>
      <c r="E10" t="s">
        <v>28</v>
      </c>
      <c r="F10">
        <v>16</v>
      </c>
      <c r="G10">
        <v>4627.13</v>
      </c>
      <c r="H10">
        <v>74034.080000000002</v>
      </c>
    </row>
    <row r="11" spans="1:8" x14ac:dyDescent="0.3">
      <c r="A11" s="6">
        <v>45860</v>
      </c>
      <c r="B11" t="s">
        <v>16</v>
      </c>
      <c r="C11" s="9" t="s">
        <v>17</v>
      </c>
      <c r="D11" t="s">
        <v>26</v>
      </c>
      <c r="E11" t="s">
        <v>21</v>
      </c>
      <c r="F11">
        <v>17</v>
      </c>
      <c r="G11">
        <v>1862.87</v>
      </c>
      <c r="H11">
        <v>31668.79</v>
      </c>
    </row>
    <row r="12" spans="1:8" x14ac:dyDescent="0.3">
      <c r="A12" s="6">
        <v>45912</v>
      </c>
      <c r="B12" t="s">
        <v>20</v>
      </c>
      <c r="C12" s="9" t="s">
        <v>13</v>
      </c>
      <c r="D12" t="s">
        <v>29</v>
      </c>
      <c r="E12" t="s">
        <v>15</v>
      </c>
      <c r="F12">
        <v>3</v>
      </c>
      <c r="G12">
        <v>7465.82</v>
      </c>
      <c r="H12">
        <v>22397.46</v>
      </c>
    </row>
    <row r="13" spans="1:8" x14ac:dyDescent="0.3">
      <c r="A13" s="6">
        <v>45865</v>
      </c>
      <c r="B13" t="s">
        <v>30</v>
      </c>
      <c r="C13" s="9" t="s">
        <v>31</v>
      </c>
      <c r="D13" t="s">
        <v>29</v>
      </c>
      <c r="E13" t="s">
        <v>19</v>
      </c>
      <c r="F13">
        <v>14</v>
      </c>
      <c r="G13">
        <v>1069.53</v>
      </c>
      <c r="H13">
        <v>14973.42</v>
      </c>
    </row>
    <row r="14" spans="1:8" x14ac:dyDescent="0.3">
      <c r="A14" s="6">
        <v>45695</v>
      </c>
      <c r="B14" t="s">
        <v>32</v>
      </c>
      <c r="C14" s="9" t="s">
        <v>33</v>
      </c>
      <c r="D14" t="s">
        <v>10</v>
      </c>
      <c r="E14" t="s">
        <v>15</v>
      </c>
      <c r="F14">
        <v>12</v>
      </c>
      <c r="G14">
        <v>4874.8900000000003</v>
      </c>
      <c r="H14">
        <v>58498.68</v>
      </c>
    </row>
    <row r="15" spans="1:8" x14ac:dyDescent="0.3">
      <c r="A15" s="6">
        <v>45912</v>
      </c>
      <c r="B15" t="s">
        <v>24</v>
      </c>
      <c r="C15" s="9" t="s">
        <v>17</v>
      </c>
      <c r="D15" t="s">
        <v>18</v>
      </c>
      <c r="E15" t="s">
        <v>28</v>
      </c>
      <c r="F15">
        <v>2</v>
      </c>
      <c r="G15">
        <v>6293.16</v>
      </c>
      <c r="H15">
        <v>12586.32</v>
      </c>
    </row>
    <row r="16" spans="1:8" x14ac:dyDescent="0.3">
      <c r="A16" s="6">
        <v>46237</v>
      </c>
      <c r="B16" t="s">
        <v>34</v>
      </c>
      <c r="C16" s="9" t="s">
        <v>31</v>
      </c>
      <c r="D16" t="s">
        <v>18</v>
      </c>
      <c r="E16" t="s">
        <v>15</v>
      </c>
      <c r="F16">
        <v>19</v>
      </c>
      <c r="G16">
        <v>1786.43</v>
      </c>
      <c r="H16">
        <v>33942.17</v>
      </c>
    </row>
    <row r="17" spans="1:8" x14ac:dyDescent="0.3">
      <c r="A17" s="6">
        <v>45941</v>
      </c>
      <c r="B17" t="s">
        <v>30</v>
      </c>
      <c r="C17" s="9" t="s">
        <v>31</v>
      </c>
      <c r="D17" t="s">
        <v>26</v>
      </c>
      <c r="E17" t="s">
        <v>23</v>
      </c>
      <c r="F17">
        <v>8</v>
      </c>
      <c r="G17">
        <v>1344.5</v>
      </c>
      <c r="H17">
        <v>10756</v>
      </c>
    </row>
    <row r="18" spans="1:8" x14ac:dyDescent="0.3">
      <c r="A18" s="6">
        <v>45958</v>
      </c>
      <c r="B18" t="s">
        <v>12</v>
      </c>
      <c r="C18" s="9" t="s">
        <v>13</v>
      </c>
      <c r="D18" t="s">
        <v>35</v>
      </c>
      <c r="E18" t="s">
        <v>15</v>
      </c>
      <c r="F18">
        <v>19</v>
      </c>
      <c r="G18">
        <v>6959.82</v>
      </c>
      <c r="H18">
        <v>132236.57999999999</v>
      </c>
    </row>
    <row r="19" spans="1:8" x14ac:dyDescent="0.3">
      <c r="A19" s="6">
        <v>45700</v>
      </c>
      <c r="B19" t="s">
        <v>34</v>
      </c>
      <c r="C19" s="9" t="s">
        <v>31</v>
      </c>
      <c r="D19" t="s">
        <v>22</v>
      </c>
      <c r="E19" t="s">
        <v>21</v>
      </c>
      <c r="F19">
        <v>6</v>
      </c>
      <c r="G19">
        <v>200.31</v>
      </c>
      <c r="H19">
        <v>1201.8599999999999</v>
      </c>
    </row>
    <row r="20" spans="1:8" x14ac:dyDescent="0.3">
      <c r="A20" s="6">
        <v>46166</v>
      </c>
      <c r="B20" t="s">
        <v>12</v>
      </c>
      <c r="C20" s="9" t="s">
        <v>13</v>
      </c>
      <c r="D20" t="s">
        <v>26</v>
      </c>
      <c r="E20" t="s">
        <v>21</v>
      </c>
      <c r="F20">
        <v>2</v>
      </c>
      <c r="G20">
        <v>5696.85</v>
      </c>
      <c r="H20">
        <v>11393.7</v>
      </c>
    </row>
    <row r="21" spans="1:8" x14ac:dyDescent="0.3">
      <c r="A21" s="6">
        <v>45754</v>
      </c>
      <c r="B21" t="s">
        <v>32</v>
      </c>
      <c r="C21" s="9" t="s">
        <v>33</v>
      </c>
      <c r="D21" t="s">
        <v>26</v>
      </c>
      <c r="E21" t="s">
        <v>23</v>
      </c>
      <c r="F21">
        <v>16</v>
      </c>
      <c r="G21">
        <v>6381.84</v>
      </c>
      <c r="H21">
        <v>102109.44</v>
      </c>
    </row>
    <row r="22" spans="1:8" x14ac:dyDescent="0.3">
      <c r="A22" s="6">
        <v>45836</v>
      </c>
      <c r="B22" t="s">
        <v>20</v>
      </c>
      <c r="C22" s="9" t="s">
        <v>13</v>
      </c>
      <c r="D22" t="s">
        <v>25</v>
      </c>
      <c r="E22" t="s">
        <v>15</v>
      </c>
      <c r="F22">
        <v>12</v>
      </c>
      <c r="G22">
        <v>2720.17</v>
      </c>
      <c r="H22">
        <v>32642.04</v>
      </c>
    </row>
    <row r="23" spans="1:8" x14ac:dyDescent="0.3">
      <c r="A23" s="6">
        <v>45778</v>
      </c>
      <c r="B23" t="s">
        <v>34</v>
      </c>
      <c r="C23" s="9" t="s">
        <v>31</v>
      </c>
      <c r="D23" t="s">
        <v>26</v>
      </c>
      <c r="E23" t="s">
        <v>15</v>
      </c>
      <c r="F23">
        <v>12</v>
      </c>
      <c r="G23">
        <v>7024.95</v>
      </c>
      <c r="H23">
        <v>84299.4</v>
      </c>
    </row>
    <row r="24" spans="1:8" x14ac:dyDescent="0.3">
      <c r="A24" s="6">
        <v>45728</v>
      </c>
      <c r="B24" t="s">
        <v>24</v>
      </c>
      <c r="C24" s="9" t="s">
        <v>17</v>
      </c>
      <c r="D24" t="s">
        <v>35</v>
      </c>
      <c r="E24" t="s">
        <v>19</v>
      </c>
      <c r="F24">
        <v>9</v>
      </c>
      <c r="G24">
        <v>3324.9</v>
      </c>
      <c r="H24">
        <v>29924.1</v>
      </c>
    </row>
    <row r="25" spans="1:8" x14ac:dyDescent="0.3">
      <c r="A25" s="6">
        <v>45846</v>
      </c>
      <c r="B25" t="s">
        <v>16</v>
      </c>
      <c r="C25" s="9" t="s">
        <v>17</v>
      </c>
      <c r="D25" t="s">
        <v>35</v>
      </c>
      <c r="E25" t="s">
        <v>21</v>
      </c>
      <c r="F25">
        <v>4</v>
      </c>
      <c r="G25">
        <v>6030.2</v>
      </c>
      <c r="H25">
        <v>24120.799999999999</v>
      </c>
    </row>
    <row r="26" spans="1:8" x14ac:dyDescent="0.3">
      <c r="A26" s="6">
        <v>45831</v>
      </c>
      <c r="B26" t="s">
        <v>24</v>
      </c>
      <c r="C26" s="9" t="s">
        <v>17</v>
      </c>
      <c r="D26" t="s">
        <v>25</v>
      </c>
      <c r="E26" t="s">
        <v>15</v>
      </c>
      <c r="F26">
        <v>8</v>
      </c>
      <c r="G26">
        <v>1087.42</v>
      </c>
      <c r="H26">
        <v>8699.36</v>
      </c>
    </row>
    <row r="27" spans="1:8" x14ac:dyDescent="0.3">
      <c r="A27" s="6">
        <v>45911</v>
      </c>
      <c r="B27" t="s">
        <v>32</v>
      </c>
      <c r="C27" s="9" t="s">
        <v>33</v>
      </c>
      <c r="D27" t="s">
        <v>35</v>
      </c>
      <c r="E27" t="s">
        <v>11</v>
      </c>
      <c r="F27">
        <v>20</v>
      </c>
      <c r="G27">
        <v>463.56</v>
      </c>
      <c r="H27">
        <v>9271.2000000000007</v>
      </c>
    </row>
    <row r="28" spans="1:8" x14ac:dyDescent="0.3">
      <c r="A28" s="6">
        <v>45853</v>
      </c>
      <c r="B28" t="s">
        <v>20</v>
      </c>
      <c r="C28" s="9" t="s">
        <v>13</v>
      </c>
      <c r="D28" t="s">
        <v>26</v>
      </c>
      <c r="E28" t="s">
        <v>19</v>
      </c>
      <c r="F28">
        <v>3</v>
      </c>
      <c r="G28">
        <v>4661.54</v>
      </c>
      <c r="H28">
        <v>13984.62</v>
      </c>
    </row>
    <row r="29" spans="1:8" x14ac:dyDescent="0.3">
      <c r="A29" s="6">
        <v>45907</v>
      </c>
      <c r="B29" t="s">
        <v>16</v>
      </c>
      <c r="C29" s="9" t="s">
        <v>17</v>
      </c>
      <c r="D29" t="s">
        <v>22</v>
      </c>
      <c r="E29" t="s">
        <v>21</v>
      </c>
      <c r="F29">
        <v>2</v>
      </c>
      <c r="G29">
        <v>4863.01</v>
      </c>
      <c r="H29">
        <v>9726.02</v>
      </c>
    </row>
    <row r="30" spans="1:8" x14ac:dyDescent="0.3">
      <c r="A30" s="6">
        <v>45867</v>
      </c>
      <c r="B30" t="s">
        <v>30</v>
      </c>
      <c r="C30" s="9" t="s">
        <v>31</v>
      </c>
      <c r="D30" t="s">
        <v>10</v>
      </c>
      <c r="E30" t="s">
        <v>11</v>
      </c>
      <c r="F30">
        <v>16</v>
      </c>
      <c r="G30">
        <v>836.73</v>
      </c>
      <c r="H30">
        <v>13387.68</v>
      </c>
    </row>
    <row r="31" spans="1:8" x14ac:dyDescent="0.3">
      <c r="A31" s="6">
        <v>45680</v>
      </c>
      <c r="B31" t="s">
        <v>16</v>
      </c>
      <c r="C31" s="9" t="s">
        <v>17</v>
      </c>
      <c r="D31" t="s">
        <v>26</v>
      </c>
      <c r="E31" t="s">
        <v>15</v>
      </c>
      <c r="F31">
        <v>12</v>
      </c>
      <c r="G31">
        <v>7429.7</v>
      </c>
      <c r="H31">
        <v>89156.4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A1E1B-D568-4A7B-BA69-3CDE29B058A0}">
  <sheetPr>
    <pageSetUpPr autoPageBreaks="0"/>
  </sheetPr>
  <dimension ref="F1:K3"/>
  <sheetViews>
    <sheetView showGridLines="0" showRowColHeaders="0" zoomScale="90" zoomScaleNormal="90" workbookViewId="0">
      <selection activeCell="P3" sqref="P3"/>
    </sheetView>
  </sheetViews>
  <sheetFormatPr defaultRowHeight="14.4" x14ac:dyDescent="0.3"/>
  <sheetData>
    <row r="1" spans="6:11" x14ac:dyDescent="0.3">
      <c r="F1" s="10" t="s">
        <v>51</v>
      </c>
      <c r="G1" s="10"/>
      <c r="H1" s="10"/>
      <c r="I1" s="10"/>
      <c r="J1" s="10"/>
      <c r="K1" s="10"/>
    </row>
    <row r="2" spans="6:11" x14ac:dyDescent="0.3">
      <c r="F2" s="10"/>
      <c r="G2" s="10"/>
      <c r="H2" s="10"/>
      <c r="I2" s="10"/>
      <c r="J2" s="10"/>
      <c r="K2" s="10"/>
    </row>
    <row r="3" spans="6:11" x14ac:dyDescent="0.3">
      <c r="F3" s="10"/>
      <c r="G3" s="10"/>
      <c r="H3" s="10"/>
      <c r="I3" s="10"/>
      <c r="J3" s="10"/>
      <c r="K3" s="10"/>
    </row>
  </sheetData>
  <mergeCells count="1">
    <mergeCell ref="F1:K3"/>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ujunwa rose</cp:lastModifiedBy>
  <dcterms:created xsi:type="dcterms:W3CDTF">2026-05-14T14:06:10Z</dcterms:created>
  <dcterms:modified xsi:type="dcterms:W3CDTF">2026-06-05T00:30:32Z</dcterms:modified>
</cp:coreProperties>
</file>